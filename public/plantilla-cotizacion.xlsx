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xr:revisionPtr revIDLastSave="0" documentId="13_ncr:1_{11E200EA-E7C4-4351-8045-52059825D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COTIZACION OFICIAL" sheetId="2" r:id="rId1"/>
  </sheets>
  <definedNames>
    <definedName name="_xlnm.Print_Area" localSheetId="0">'00_COTIZACION OFICIAL'!$A$1:$L$42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<sst xmlns="http://schemas.openxmlformats.org/spreadsheetml/2006/main" count="49" uniqueCount="47">
  <si>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ITEMS</t>
  </si>
  <si>
    <t>F. Vence:</t>
  </si>
  <si>
    <t>Datos del Cliente</t>
  </si>
  <si>
    <t>CONSIDERACIONES:</t>
  </si>
  <si>
    <t xml:space="preserve"> </t>
  </si>
  <si>
    <r>
      <t xml:space="preserve">                                  EMAIL: </t>
    </r>
    <r>
      <rPr>
        <b/>
        <sz val="11"/>
        <color theme="4" tint="-0.249977111117893"/>
        <rFont val="Calibri"/>
        <family val="2"/>
        <scheme val="minor"/>
      </rPr>
      <t>mueblespaciohome@gmail.com - admspaciohomee@gmail.com</t>
    </r>
  </si>
  <si>
    <t xml:space="preserve">                                                         Teléfono     :</t>
  </si>
  <si>
    <t>Empresa   :</t>
  </si>
  <si>
    <t>Direccion  :</t>
  </si>
  <si>
    <t>Teléfono   :</t>
  </si>
  <si>
    <t>Email        :</t>
  </si>
  <si>
    <t>Nombre    :</t>
  </si>
  <si>
    <t xml:space="preserve">                                  MUEBLES SPACIO HOME E.I.R.L - RUC: 20608536192</t>
  </si>
  <si>
    <t xml:space="preserve">                                  TEL:  962 346 642  -  959 798 880</t>
  </si>
  <si>
    <t>*SI EL CLIENTE DESEA EJECUTAR LA FABRICACION DE LOS MUEBLES CON NOSOTROS, EL COSTO DE DISEÑO SERA DESCONTADO EN SU TOTALIDAD.</t>
  </si>
  <si>
    <r>
      <t xml:space="preserve">INCLUYE: </t>
    </r>
    <r>
      <rPr>
        <sz val="11"/>
        <color theme="1"/>
        <rFont val="Calibri"/>
        <family val="2"/>
        <scheme val="minor"/>
      </rPr>
      <t>REUNIONES VIRTUALES + ENTREGABLE CON RENDERS EN PDF AL CULMINAR LA ETAPA DE DISEÑO (ANTES DE ELLO SE DEBE PAGAR EL MONTO RESTANTE).</t>
    </r>
  </si>
  <si>
    <t>CIERRE DE CONTRATO</t>
  </si>
  <si>
    <t>COSTOS INDIVIDUALES</t>
  </si>
  <si>
    <t xml:space="preserve">MONTO TOTAL </t>
  </si>
  <si>
    <t xml:space="preserve"> 948 323 458</t>
  </si>
  <si>
    <t>ANTES DE ENVIARSE LOS ENTREGABLES FINALES</t>
  </si>
  <si>
    <t>Fecha de cotización:</t>
  </si>
  <si>
    <r>
      <t xml:space="preserve">*EL ENTREGABLE INCLUYE: </t>
    </r>
    <r>
      <rPr>
        <sz val="11"/>
        <color theme="1"/>
        <rFont val="Calibri"/>
        <family val="2"/>
        <scheme val="minor"/>
      </rPr>
      <t>Plantas de distribucion / Portafolio de Diseño (Renders) / Cotizacion por fabricacion</t>
    </r>
  </si>
  <si>
    <t>Arquitecto/a</t>
  </si>
  <si>
    <t>AMBIENTES</t>
  </si>
  <si>
    <t>DESCRIPCIÓN</t>
  </si>
  <si>
    <t xml:space="preserve">                                                         Arquitecta  :</t>
  </si>
  <si>
    <t>COTIZACIÓN DE DISEÑO INTEGRAL</t>
  </si>
  <si>
    <t xml:space="preserve">                                  DIRECION:  CALLE MARIANO ODICIO 153 - SURQUILLO</t>
  </si>
  <si>
    <t xml:space="preserve">PLANTA DE DISTRIBUCIÓN </t>
  </si>
  <si>
    <r>
      <t>CUOTA DE SEPARACIÓN:</t>
    </r>
    <r>
      <rPr>
        <sz val="11"/>
        <color theme="1"/>
        <rFont val="Calibri"/>
        <family val="2"/>
        <scheme val="minor"/>
      </rPr>
      <t xml:space="preserve"> 80% DE ADELANTO POR CIERRE DE CONTRATO Y 20% ANTES DE ENVIARSE LOS ENTREGABLES.</t>
    </r>
  </si>
  <si>
    <t>MONTO TOTAL FINAL CON DESCUENTO APLICADO + IGV</t>
  </si>
  <si>
    <r>
      <rPr>
        <b/>
        <sz val="11"/>
        <rFont val="Calibri"/>
        <family val="2"/>
        <scheme val="minor"/>
      </rPr>
      <t xml:space="preserve">DISEÑO DE INTERIORES     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
AREA: 13 m2                                                                                                                                                                                                                                                                                                                                                                                                                                                                          
Incluye:                                                                                                                                                                                                                                      
. Planta de distribución con medidas. 
. Información de accesorios o complementos                                                                                                                                                                                                                           
. Portafolio de Diseño (Renders).         </t>
    </r>
  </si>
  <si>
    <r>
      <rPr>
        <b/>
        <sz val="11"/>
        <color theme="1"/>
        <rFont val="Calibri"/>
        <family val="2"/>
        <scheme val="minor"/>
      </rPr>
      <t>TIEMPO DE ENTREGA:</t>
    </r>
    <r>
      <rPr>
        <sz val="11"/>
        <color theme="1"/>
        <rFont val="Calibri"/>
        <family val="2"/>
        <scheme val="minor"/>
      </rPr>
      <t xml:space="preserve"> 2 A 3 SEMANAS HÁBILES A PARTIR DEL CIERRE DE CONTRATO (DEPENDE DE LA MAGNITUD DEL PROYECTO).</t>
    </r>
  </si>
  <si>
    <t>Fabiana Alvarez</t>
  </si>
  <si>
    <r>
      <rPr>
        <b/>
        <sz val="11"/>
        <rFont val="Calibri"/>
        <family val="2"/>
        <scheme val="minor"/>
      </rPr>
      <t xml:space="preserve">DISEÑO DE INTERIORES     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
AREA: 9.78 m2                                                                                                                                                                                                                                                                                                                                                                                                                                                                          
Incluye:                                                                                                                                                                                                                                      
. Planta de distribución con medidas. 
. Información de accesorios o complementos                                                                                                                                                                                                                           
. Portafolio de Diseño (Renders).         </t>
    </r>
  </si>
  <si>
    <r>
      <rPr>
        <b/>
        <sz val="11"/>
        <rFont val="Calibri"/>
        <family val="2"/>
        <scheme val="minor"/>
      </rPr>
      <t xml:space="preserve">DISEÑO DE INTERIORES     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
AREA: 7.22  m2                                                                                                                                                                                                                                                                                                                                                                                                                                                                          
Incluye:                                                                                                                                                                                                                                      
. Planta de distribución con medidas. 
. Información de accesorios o complementos                                                                                                                                                                                                                           
. Portafolio de Diseño (Renders).         </t>
    </r>
  </si>
  <si>
    <r>
      <rPr>
        <b/>
        <sz val="11"/>
        <rFont val="Calibri"/>
        <family val="2"/>
        <scheme val="minor"/>
      </rPr>
      <t xml:space="preserve">DISEÑO DE INTERIORES     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
AREA: 20 m2    / 6.17m2                                                                                                                                                                                                                                                                                                                                                                                                                                                             
Incluye:                                                                                                                                                                                                                                      
. Planta de distribución con medidas. 
. Información de accesorios o complementos                                                                                                                                                                                                                           
. Portafolio de Diseño (Renders).         </t>
    </r>
  </si>
  <si>
    <r>
      <rPr>
        <b/>
        <sz val="11"/>
        <rFont val="Calibri"/>
        <family val="2"/>
        <scheme val="minor"/>
      </rPr>
      <t xml:space="preserve">DISEÑO DE INTERIORES     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
AREA: 11.98  m2                                                                                                                                                                                                                                                                                                                                                                                                                                                                          
Incluye:                                                                                                                                                                                                                                      
. Planta de distribución con medidas. 
. Información de accesorios o complementos                                                                                                                                                                                                                           
. Portafolio de Diseño (Renders).         </t>
    </r>
  </si>
  <si>
    <t>DORMITORIO</t>
  </si>
  <si>
    <t xml:space="preserve">SALA COMEDOR / COCINA </t>
  </si>
  <si>
    <t xml:space="preserve">SALA ESTAR </t>
  </si>
  <si>
    <t>PASILLO</t>
  </si>
  <si>
    <t>LAVANDERIA / BAÑO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</si>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</sst>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dd/mm/yy;@"/>
    <numFmt numFmtId="166" formatCode="&quot;S/&quot;#,##0.00"/>
    <numFmt numFmtId="167" formatCode="&quot;S/&quot;\ 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5" fillId="0" borderId="0" xfId="1" applyAlignment="1">
      <alignment horizontal="left" vertic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7" fontId="1" fillId="0" borderId="5" xfId="0" applyNumberFormat="1" applyFont="1" applyBorder="1" applyAlignment="1">
      <alignment horizontal="right" vertical="center"/>
    </xf>
    <xf numFmtId="9" fontId="1" fillId="0" borderId="5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2" fontId="0" fillId="0" borderId="0" xfId="0" applyNumberFormat="1"/>
    <xf numFmtId="166" fontId="14" fillId="4" borderId="6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8" fillId="0" borderId="0" xfId="0" applyFont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5" fillId="0" borderId="0" xfId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vertical="center"/>
    </xf>
    <xf numFmtId="0" fontId="9" fillId="4" borderId="20" xfId="0" applyFont="1" applyFill="1" applyBorder="1" applyAlignment="1">
      <alignment vertical="center"/>
    </xf>
    <xf numFmtId="0" fontId="9" fillId="4" borderId="21" xfId="0" applyFont="1" applyFill="1" applyBorder="1" applyAlignment="1">
      <alignment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/>
    <xf numFmtId="166" fontId="14" fillId="4" borderId="0" xfId="0" applyNumberFormat="1" applyFont="1" applyFill="1" applyBorder="1" applyAlignment="1">
      <alignment horizontal="right" vertical="center"/>
    </xf>
    <xf numFmtId="0" fontId="4" fillId="7" borderId="5" xfId="0" applyFont="1" applyFill="1" applyBorder="1"/>
    <xf numFmtId="166" fontId="14" fillId="4" borderId="5" xfId="0" applyNumberFormat="1" applyFont="1" applyFill="1" applyBorder="1" applyAlignment="1">
      <alignment horizontal="right" vertical="center"/>
    </xf>
    <xf numFmtId="167" fontId="17" fillId="6" borderId="5" xfId="0" applyNumberFormat="1" applyFont="1" applyFill="1" applyBorder="1" applyAlignment="1">
      <alignment horizontal="right" vertical="center"/>
    </xf>
    <xf numFmtId="167" fontId="17" fillId="4" borderId="5" xfId="0" applyNumberFormat="1" applyFont="1" applyFill="1" applyBorder="1" applyAlignment="1">
      <alignment horizontal="right" vertical="center"/>
    </xf>
    <xf numFmtId="167" fontId="17" fillId="6" borderId="8" xfId="0" applyNumberFormat="1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8E5"/>
      <color rgb="FFF2F7FC"/>
      <color rgb="FFECF5E7"/>
      <color rgb="FFFDEFE7"/>
      <color rgb="FFEFF6FB"/>
      <color rgb="FFFFF3F8"/>
      <color rgb="FFFFE7F0"/>
      <color rgb="FFF3EBF9"/>
      <color rgb="FFFFE7FF"/>
      <color rgb="FFFF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1</xdr:row>
      <xdr:rowOff>37499</xdr:rowOff>
    </xdr:from>
    <xdr:to>
      <xdr:col>4</xdr:col>
      <xdr:colOff>327543</xdr:colOff>
      <xdr:row>7</xdr:row>
      <xdr:rowOff>101665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3"/>
        <a:stretch/>
      </xdr:blipFill>
      <xdr:spPr>
        <a:xfrm>
          <a:off x="89647" y="149558"/>
          <a:ext cx="3518647" cy="1285607"/>
        </a:xfrm>
        <a:prstGeom prst="rect">
          <a:avLst/>
        </a:prstGeom>
      </xdr:spPr>
    </xdr:pic>
    <xdr:clientData/>
  </xdr:twoCellAnchor>
  <xdr:twoCellAnchor>
    <xdr:from>
      <xdr:col>4</xdr:col>
      <xdr:colOff>862854</xdr:colOff>
      <xdr:row>1</xdr:row>
      <xdr:rowOff>0</xdr:rowOff>
    </xdr:from>
    <xdr:to>
      <xdr:col>8</xdr:col>
      <xdr:colOff>3454400</xdr:colOff>
      <xdr:row>7</xdr:row>
      <xdr:rowOff>100853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707654" y="114300"/>
          <a:ext cx="10732246" cy="1320053"/>
        </a:xfrm>
        <a:prstGeom prst="roundRect">
          <a:avLst/>
        </a:prstGeom>
        <a:noFill/>
        <a:ln w="28575"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297180</xdr:colOff>
      <xdr:row>10</xdr:row>
      <xdr:rowOff>106680</xdr:rowOff>
    </xdr:from>
    <xdr:to>
      <xdr:col>8</xdr:col>
      <xdr:colOff>365343</xdr:colOff>
      <xdr:row>16</xdr:row>
      <xdr:rowOff>134471</xdr:rowOff>
    </xdr:to>
    <xdr:sp macro="" textlink="">
      <xdr:nvSpPr>
        <xdr:cNvPr id="83" name="Rectángulo: esquinas redondeadas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417919" y="2038511"/>
          <a:ext cx="11042037" cy="1154692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145676</xdr:colOff>
      <xdr:row>34</xdr:row>
      <xdr:rowOff>56030</xdr:rowOff>
    </xdr:from>
    <xdr:to>
      <xdr:col>4</xdr:col>
      <xdr:colOff>1306716</xdr:colOff>
      <xdr:row>40</xdr:row>
      <xdr:rowOff>44820</xdr:rowOff>
    </xdr:to>
    <xdr:pic>
      <xdr:nvPicPr>
        <xdr:cNvPr id="2287" name="Imagen 2286">
          <a:extLst>
            <a:ext uri="{FF2B5EF4-FFF2-40B4-BE49-F238E27FC236}">
              <a16:creationId xmlns:a16="http://schemas.microsoft.com/office/drawing/2014/main" id="{790491AE-BD8D-F2D5-2EC7-D76DA257F5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5" t="17853" r="12618" b="17745"/>
        <a:stretch/>
      </xdr:blipFill>
      <xdr:spPr bwMode="auto">
        <a:xfrm>
          <a:off x="257735" y="11654118"/>
          <a:ext cx="4235823" cy="1131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33617</xdr:colOff>
      <xdr:row>33</xdr:row>
      <xdr:rowOff>156883</xdr:rowOff>
    </xdr:from>
    <xdr:to>
      <xdr:col>5</xdr:col>
      <xdr:colOff>22411</xdr:colOff>
      <xdr:row>40</xdr:row>
      <xdr:rowOff>78441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84B01E27-F1CF-AC7E-8352-68AE56727142}"/>
            </a:ext>
          </a:extLst>
        </xdr:cNvPr>
        <xdr:cNvSpPr/>
      </xdr:nvSpPr>
      <xdr:spPr>
        <a:xfrm>
          <a:off x="145676" y="11564471"/>
          <a:ext cx="4650441" cy="1255058"/>
        </a:xfrm>
        <a:prstGeom prst="roundRect">
          <a:avLst/>
        </a:prstGeom>
        <a:noFill/>
        <a:ln>
          <a:solidFill>
            <a:schemeClr val="tx1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B1:Y35"/>
  <sheetViews>
    <sheetView showGridLines="0" tabSelected="1" view="pageBreakPreview" zoomScale="32" zoomScaleNormal="77" zoomScaleSheetLayoutView="32" workbookViewId="0">
      <selection activeCell="P33" sqref="P33"/>
    </sheetView>
  </sheetViews>
  <sheetFormatPr baseColWidth="10" defaultRowHeight="15" x14ac:dyDescent="0.25"/>
  <cols>
    <col min="1" max="1" width="3.28515625" customWidth="1"/>
    <col min="2" max="2" width="11.140625" customWidth="1"/>
    <col min="3" max="3" width="18.7109375" customWidth="1"/>
    <col min="4" max="4" width="16.28515625" customWidth="1"/>
    <col min="5" max="5" width="29.140625" customWidth="1"/>
    <col min="6" max="6" width="14.28515625" customWidth="1"/>
    <col min="7" max="7" width="51.42578125" customWidth="1"/>
    <col min="8" max="8" width="30.140625" customWidth="1"/>
    <col min="9" max="9" width="54.140625" customWidth="1"/>
    <col min="10" max="10" width="33.42578125" customWidth="1"/>
    <col min="11" max="11" width="24.42578125" style="11" customWidth="1"/>
    <col min="12" max="12" width="1.7109375" customWidth="1"/>
    <col min="18" max="18" width="18.42578125" customWidth="1"/>
    <col min="22" max="22" width="1.42578125" customWidth="1"/>
    <col min="23" max="23" width="14.28515625" bestFit="1" customWidth="1"/>
  </cols>
  <sheetData>
    <row r="1" spans="2:12" ht="9" customHeight="1" thickBot="1" x14ac:dyDescent="0.3">
      <c r="E1" t="s">
        <v>4</v>
      </c>
    </row>
    <row r="2" spans="2:12" ht="21.75" thickBot="1" x14ac:dyDescent="0.3">
      <c r="B2" s="7"/>
      <c r="C2" s="7"/>
      <c r="D2" s="7"/>
      <c r="E2" s="7"/>
      <c r="F2" s="7"/>
      <c r="J2" s="40" t="s">
        <v>27</v>
      </c>
      <c r="K2" s="41"/>
      <c r="L2" t="s">
        <v>4</v>
      </c>
    </row>
    <row r="3" spans="2:12" ht="14.45" customHeight="1" x14ac:dyDescent="0.25">
      <c r="B3" s="7"/>
      <c r="C3" s="7"/>
      <c r="D3" s="7"/>
      <c r="E3" s="42" t="s">
        <v>12</v>
      </c>
      <c r="F3" s="42"/>
      <c r="G3" s="42"/>
      <c r="H3" s="42"/>
      <c r="I3" s="42"/>
      <c r="J3" s="3"/>
      <c r="K3" s="12"/>
    </row>
    <row r="4" spans="2:12" ht="15" customHeight="1" x14ac:dyDescent="0.25">
      <c r="B4" s="7"/>
      <c r="C4" s="7"/>
      <c r="D4" s="7"/>
      <c r="E4" s="43" t="s">
        <v>13</v>
      </c>
      <c r="F4" s="43"/>
      <c r="G4" s="43"/>
      <c r="H4" s="43"/>
      <c r="I4" s="43"/>
      <c r="J4" s="22" t="s">
        <v>21</v>
      </c>
      <c r="K4" s="23">
        <v>46245</v>
      </c>
    </row>
    <row r="5" spans="2:12" ht="15.75" x14ac:dyDescent="0.25">
      <c r="B5" s="7"/>
      <c r="C5" s="7"/>
      <c r="D5" s="7"/>
      <c r="E5" s="42" t="s">
        <v>28</v>
      </c>
      <c r="F5" s="42"/>
      <c r="G5" s="42"/>
      <c r="H5" s="42"/>
      <c r="I5" s="42"/>
      <c r="J5" s="22" t="s">
        <v>1</v>
      </c>
      <c r="K5" s="23">
        <v>46245</v>
      </c>
    </row>
    <row r="6" spans="2:12" x14ac:dyDescent="0.25">
      <c r="B6" s="7"/>
      <c r="C6" s="7"/>
      <c r="D6" s="7"/>
      <c r="E6" s="42" t="s">
        <v>5</v>
      </c>
      <c r="F6" s="42"/>
      <c r="G6" s="42"/>
      <c r="H6" s="42"/>
      <c r="I6" s="42"/>
      <c r="J6" s="3"/>
      <c r="K6" s="12"/>
    </row>
    <row r="7" spans="2:12" ht="14.45" customHeight="1" x14ac:dyDescent="0.25">
      <c r="B7" s="7"/>
      <c r="C7" s="7"/>
      <c r="D7" s="7"/>
      <c r="E7" s="3"/>
      <c r="F7" s="3"/>
      <c r="G7" s="3"/>
      <c r="H7" s="3"/>
      <c r="I7" s="2"/>
      <c r="J7" s="2"/>
    </row>
    <row r="8" spans="2:12" x14ac:dyDescent="0.25">
      <c r="E8" s="3"/>
    </row>
    <row r="9" spans="2:12" ht="15.75" thickBot="1" x14ac:dyDescent="0.3">
      <c r="E9" s="3"/>
    </row>
    <row r="10" spans="2:12" ht="16.5" thickBot="1" x14ac:dyDescent="0.3">
      <c r="C10" s="33" t="s">
        <v>2</v>
      </c>
      <c r="D10" s="34"/>
      <c r="E10" s="35"/>
      <c r="F10" s="4"/>
      <c r="G10" s="4"/>
      <c r="H10" s="26" t="s">
        <v>23</v>
      </c>
    </row>
    <row r="11" spans="2:12" x14ac:dyDescent="0.25">
      <c r="E11" s="3"/>
      <c r="I11" t="s">
        <v>4</v>
      </c>
    </row>
    <row r="12" spans="2:12" x14ac:dyDescent="0.25">
      <c r="C12" s="4" t="s">
        <v>11</v>
      </c>
      <c r="D12" s="36" t="s">
        <v>45</v>
      </c>
      <c r="E12" s="36"/>
      <c r="G12" s="9" t="s">
        <v>26</v>
      </c>
      <c r="H12" s="36" t="s">
        <v>34</v>
      </c>
      <c r="I12" s="36"/>
    </row>
    <row r="13" spans="2:12" x14ac:dyDescent="0.25">
      <c r="C13" s="4" t="s">
        <v>7</v>
      </c>
      <c r="D13" s="36"/>
      <c r="E13" s="36"/>
      <c r="G13" s="9" t="s">
        <v>6</v>
      </c>
      <c r="H13" s="36" t="s">
        <v>19</v>
      </c>
      <c r="I13" s="36"/>
    </row>
    <row r="14" spans="2:12" ht="21" customHeight="1" x14ac:dyDescent="0.25">
      <c r="C14" s="27" t="s">
        <v>8</v>
      </c>
      <c r="D14" s="39" t="s">
        <v>46</v>
      </c>
      <c r="E14" s="36"/>
      <c r="F14" s="36"/>
      <c r="G14" s="36"/>
      <c r="H14" s="37"/>
      <c r="I14" s="38"/>
    </row>
    <row r="15" spans="2:12" x14ac:dyDescent="0.25">
      <c r="C15" s="4" t="s">
        <v>9</v>
      </c>
      <c r="D15" s="36" t="s">
        <v>44</v>
      </c>
      <c r="E15" s="36"/>
    </row>
    <row r="16" spans="2:12" x14ac:dyDescent="0.25">
      <c r="C16" s="4" t="s">
        <v>10</v>
      </c>
      <c r="D16" s="48"/>
      <c r="E16" s="36"/>
    </row>
    <row r="17" spans="2:25" x14ac:dyDescent="0.25">
      <c r="C17" s="4"/>
      <c r="D17" s="8"/>
      <c r="E17" s="1"/>
    </row>
    <row r="18" spans="2:25" ht="6" customHeight="1" thickBot="1" x14ac:dyDescent="0.3">
      <c r="E18" s="3"/>
    </row>
    <row r="19" spans="2:25" s="14" customFormat="1" ht="38.25" customHeight="1" x14ac:dyDescent="0.25">
      <c r="B19" s="29" t="s">
        <v>0</v>
      </c>
      <c r="C19" s="29" t="s">
        <v>24</v>
      </c>
      <c r="D19" s="49" t="s">
        <v>25</v>
      </c>
      <c r="E19" s="50"/>
      <c r="F19" s="50"/>
      <c r="G19" s="51"/>
      <c r="H19" s="45" t="s">
        <v>29</v>
      </c>
      <c r="I19" s="46"/>
      <c r="J19" s="47"/>
      <c r="K19" s="32" t="s">
        <v>17</v>
      </c>
    </row>
    <row r="20" spans="2:25" s="14" customFormat="1" ht="208.5" customHeight="1" thickBot="1" x14ac:dyDescent="0.3">
      <c r="B20" s="30">
        <v>1</v>
      </c>
      <c r="C20" s="31" t="s">
        <v>39</v>
      </c>
      <c r="D20" s="59" t="s">
        <v>38</v>
      </c>
      <c r="E20" s="59"/>
      <c r="F20" s="59"/>
      <c r="G20" s="59"/>
      <c r="H20" s="67"/>
      <c r="I20" s="68"/>
      <c r="J20" s="69"/>
      <c r="K20" s="73">
        <f>+N20*O20</f>
        <v>898.5</v>
      </c>
      <c r="N20" s="74">
        <v>11.98</v>
      </c>
      <c r="O20" s="74">
        <v>75</v>
      </c>
      <c r="Q20"/>
      <c r="R20" s="76">
        <f>+S20*T20</f>
        <v>958.40000000000009</v>
      </c>
      <c r="S20" s="74">
        <v>11.98</v>
      </c>
      <c r="T20" s="74">
        <v>80</v>
      </c>
      <c r="W20" s="76">
        <f>+X20*Y20</f>
        <v>898.5</v>
      </c>
      <c r="X20" s="74">
        <v>11.98</v>
      </c>
      <c r="Y20" s="74">
        <v>75</v>
      </c>
    </row>
    <row r="21" spans="2:25" s="14" customFormat="1" ht="208.5" customHeight="1" thickBot="1" x14ac:dyDescent="0.3">
      <c r="B21" s="30">
        <v>2</v>
      </c>
      <c r="C21" s="31" t="s">
        <v>40</v>
      </c>
      <c r="D21" s="59" t="s">
        <v>37</v>
      </c>
      <c r="E21" s="59"/>
      <c r="F21" s="59"/>
      <c r="G21" s="59"/>
      <c r="H21" s="64"/>
      <c r="I21" s="65"/>
      <c r="J21" s="66"/>
      <c r="K21" s="73">
        <f>+N21*O21</f>
        <v>1875</v>
      </c>
      <c r="N21" s="74">
        <v>25</v>
      </c>
      <c r="O21" s="74">
        <v>75</v>
      </c>
      <c r="Q21"/>
      <c r="R21" s="76">
        <f t="shared" ref="R21:R24" si="0">+S21*T21</f>
        <v>2000</v>
      </c>
      <c r="S21" s="74">
        <v>25</v>
      </c>
      <c r="T21" s="74">
        <v>80</v>
      </c>
      <c r="W21" s="76">
        <f t="shared" ref="W21:W24" si="1">+X21*Y21</f>
        <v>1875</v>
      </c>
      <c r="X21" s="74">
        <v>25</v>
      </c>
      <c r="Y21" s="74">
        <v>75</v>
      </c>
    </row>
    <row r="22" spans="2:25" s="14" customFormat="1" ht="208.5" customHeight="1" thickBot="1" x14ac:dyDescent="0.3">
      <c r="B22" s="30">
        <v>3</v>
      </c>
      <c r="C22" s="31" t="s">
        <v>41</v>
      </c>
      <c r="D22" s="59" t="s">
        <v>36</v>
      </c>
      <c r="E22" s="59"/>
      <c r="F22" s="59"/>
      <c r="G22" s="59"/>
      <c r="H22" s="61"/>
      <c r="I22" s="62"/>
      <c r="J22" s="63"/>
      <c r="K22" s="73">
        <f t="shared" ref="K22:K24" si="2">+N22*O22</f>
        <v>541.5</v>
      </c>
      <c r="N22" s="74">
        <v>7.22</v>
      </c>
      <c r="O22" s="74">
        <v>75</v>
      </c>
      <c r="Q22"/>
      <c r="R22" s="76">
        <f t="shared" si="0"/>
        <v>577.6</v>
      </c>
      <c r="S22" s="74">
        <v>7.22</v>
      </c>
      <c r="T22" s="74">
        <v>80</v>
      </c>
      <c r="W22" s="76">
        <f t="shared" si="1"/>
        <v>541.5</v>
      </c>
      <c r="X22" s="74">
        <v>7.22</v>
      </c>
      <c r="Y22" s="74">
        <v>75</v>
      </c>
    </row>
    <row r="23" spans="2:25" s="14" customFormat="1" ht="208.5" customHeight="1" thickBot="1" x14ac:dyDescent="0.3">
      <c r="B23" s="30">
        <v>4</v>
      </c>
      <c r="C23" s="31" t="s">
        <v>42</v>
      </c>
      <c r="D23" s="59" t="s">
        <v>32</v>
      </c>
      <c r="E23" s="59"/>
      <c r="F23" s="59"/>
      <c r="G23" s="59"/>
      <c r="H23" s="70"/>
      <c r="I23" s="71"/>
      <c r="J23" s="72"/>
      <c r="K23" s="73">
        <f t="shared" si="2"/>
        <v>975</v>
      </c>
      <c r="N23" s="74">
        <v>13</v>
      </c>
      <c r="O23" s="74">
        <v>75</v>
      </c>
      <c r="Q23"/>
      <c r="R23" s="76">
        <f t="shared" si="0"/>
        <v>1040</v>
      </c>
      <c r="S23" s="74">
        <v>13</v>
      </c>
      <c r="T23" s="74">
        <v>80</v>
      </c>
      <c r="W23" s="76">
        <f t="shared" si="1"/>
        <v>975</v>
      </c>
      <c r="X23" s="74">
        <v>13</v>
      </c>
      <c r="Y23" s="74">
        <v>75</v>
      </c>
    </row>
    <row r="24" spans="2:25" s="14" customFormat="1" ht="234.75" customHeight="1" thickBot="1" x14ac:dyDescent="0.3">
      <c r="B24" s="30">
        <v>5</v>
      </c>
      <c r="C24" s="31" t="s">
        <v>43</v>
      </c>
      <c r="D24" s="59" t="s">
        <v>35</v>
      </c>
      <c r="E24" s="59"/>
      <c r="F24" s="59"/>
      <c r="G24" s="59"/>
      <c r="H24" s="60"/>
      <c r="I24" s="60"/>
      <c r="J24" s="60"/>
      <c r="K24" s="73">
        <f t="shared" si="2"/>
        <v>367.5</v>
      </c>
      <c r="N24" s="74">
        <v>4.9000000000000004</v>
      </c>
      <c r="O24" s="74">
        <v>75</v>
      </c>
      <c r="R24" s="76">
        <f t="shared" si="0"/>
        <v>392</v>
      </c>
      <c r="S24" s="74">
        <v>4.9000000000000004</v>
      </c>
      <c r="T24" s="74">
        <v>80</v>
      </c>
      <c r="W24" s="76">
        <f t="shared" si="1"/>
        <v>367.5</v>
      </c>
      <c r="X24" s="74">
        <v>4.9000000000000004</v>
      </c>
      <c r="Y24" s="74">
        <v>75</v>
      </c>
    </row>
    <row r="25" spans="2:25" ht="18" customHeight="1" thickBot="1" x14ac:dyDescent="0.3">
      <c r="B25" s="6"/>
      <c r="C25" s="6"/>
      <c r="D25" s="6"/>
      <c r="E25" s="6"/>
      <c r="F25" s="6"/>
      <c r="G25" s="6"/>
      <c r="H25" s="52" t="s">
        <v>18</v>
      </c>
      <c r="I25" s="53"/>
      <c r="J25" s="54"/>
      <c r="K25" s="25">
        <f>SUM(K20:K24)</f>
        <v>4657.5</v>
      </c>
      <c r="N25" s="24"/>
      <c r="R25" s="77">
        <f>SUM(R20:R24)</f>
        <v>4968</v>
      </c>
      <c r="W25" s="77">
        <f>SUM(W20:W24)</f>
        <v>4657.5</v>
      </c>
    </row>
    <row r="26" spans="2:25" ht="21.75" customHeight="1" thickBot="1" x14ac:dyDescent="0.3">
      <c r="B26" s="10"/>
      <c r="C26" s="15"/>
      <c r="D26" s="15"/>
      <c r="E26" s="15"/>
      <c r="F26" s="15"/>
      <c r="G26" s="15"/>
      <c r="H26" s="55" t="s">
        <v>31</v>
      </c>
      <c r="I26" s="56"/>
      <c r="J26" s="56"/>
      <c r="K26" s="80">
        <f>+K25*0.18</f>
        <v>838.35</v>
      </c>
      <c r="R26" s="78">
        <f>+R25*0.18</f>
        <v>894.24</v>
      </c>
      <c r="W26" s="78">
        <f>+W25*0.18</f>
        <v>838.35</v>
      </c>
    </row>
    <row r="27" spans="2:25" ht="21.75" customHeight="1" x14ac:dyDescent="0.25">
      <c r="B27" s="10"/>
      <c r="C27" s="15"/>
      <c r="D27" s="15"/>
      <c r="E27" s="15"/>
      <c r="F27" s="15"/>
      <c r="G27" s="15"/>
      <c r="H27" s="57"/>
      <c r="I27" s="58"/>
      <c r="J27" s="58"/>
      <c r="K27" s="79">
        <f>+K25+K26</f>
        <v>5495.85</v>
      </c>
      <c r="N27" s="75"/>
      <c r="R27" s="79">
        <f>+R25+R26</f>
        <v>5862.24</v>
      </c>
      <c r="W27" s="79">
        <f>+W25+W26</f>
        <v>5495.85</v>
      </c>
    </row>
    <row r="28" spans="2:25" ht="22.5" customHeight="1" x14ac:dyDescent="0.25">
      <c r="B28" s="28" t="s">
        <v>3</v>
      </c>
      <c r="C28" s="15"/>
      <c r="D28" s="15"/>
      <c r="E28" s="15"/>
      <c r="F28" s="15"/>
      <c r="G28" s="15"/>
      <c r="H28" s="15"/>
      <c r="W28" s="75"/>
    </row>
    <row r="29" spans="2:25" x14ac:dyDescent="0.25">
      <c r="B29" t="s">
        <v>33</v>
      </c>
      <c r="C29" s="15"/>
      <c r="D29" s="15"/>
      <c r="E29" s="15"/>
      <c r="F29" s="15"/>
      <c r="G29" s="15"/>
    </row>
    <row r="30" spans="2:25" ht="15" customHeight="1" x14ac:dyDescent="0.25">
      <c r="B30" s="17" t="s">
        <v>30</v>
      </c>
      <c r="C30" s="17"/>
      <c r="D30" s="17"/>
      <c r="E30" s="17"/>
      <c r="F30" s="17"/>
      <c r="G30" s="17"/>
      <c r="H30" s="17"/>
      <c r="I30" s="21" t="s">
        <v>16</v>
      </c>
      <c r="J30" s="19">
        <v>0.8</v>
      </c>
      <c r="K30" s="18">
        <f>+K27*J30</f>
        <v>4396.68</v>
      </c>
    </row>
    <row r="31" spans="2:25" x14ac:dyDescent="0.25">
      <c r="B31" s="17" t="s">
        <v>15</v>
      </c>
      <c r="C31" s="17"/>
      <c r="D31" s="17"/>
      <c r="E31" s="17"/>
      <c r="F31" s="17"/>
      <c r="G31" s="17"/>
      <c r="H31" s="17"/>
      <c r="I31" s="21" t="s">
        <v>20</v>
      </c>
      <c r="J31" s="19">
        <v>0.2</v>
      </c>
      <c r="K31" s="18">
        <f>+J31*K27</f>
        <v>1099.17</v>
      </c>
    </row>
    <row r="32" spans="2:25" x14ac:dyDescent="0.25">
      <c r="B32" s="44" t="s">
        <v>22</v>
      </c>
      <c r="C32" s="44"/>
      <c r="D32" s="44"/>
      <c r="E32" s="44"/>
      <c r="F32" s="44"/>
      <c r="G32" s="44"/>
      <c r="H32" s="44"/>
      <c r="I32" s="44"/>
      <c r="K32" s="20"/>
    </row>
    <row r="33" spans="2:11" ht="18" customHeight="1" x14ac:dyDescent="0.25">
      <c r="B33" s="16" t="s">
        <v>14</v>
      </c>
      <c r="C33" s="15"/>
      <c r="D33" s="15"/>
      <c r="E33" s="15"/>
      <c r="F33" s="15"/>
    </row>
    <row r="34" spans="2:11" ht="15" customHeight="1" x14ac:dyDescent="0.25">
      <c r="K34" s="20"/>
    </row>
    <row r="35" spans="2:11" s="5" customFormat="1" ht="15" customHeight="1" x14ac:dyDescent="0.25">
      <c r="B35"/>
      <c r="C35"/>
      <c r="D35"/>
      <c r="E35"/>
      <c r="F35"/>
      <c r="G35"/>
      <c r="H35"/>
      <c r="I35"/>
      <c r="J35"/>
      <c r="K35" s="13"/>
    </row>
  </sheetData>
  <mergeCells count="27">
    <mergeCell ref="D23:G23"/>
    <mergeCell ref="B32:I32"/>
    <mergeCell ref="H19:J19"/>
    <mergeCell ref="D16:E16"/>
    <mergeCell ref="D19:G19"/>
    <mergeCell ref="H25:J25"/>
    <mergeCell ref="H26:J26"/>
    <mergeCell ref="H27:J27"/>
    <mergeCell ref="D24:G24"/>
    <mergeCell ref="H24:J24"/>
    <mergeCell ref="H22:J22"/>
    <mergeCell ref="D22:G22"/>
    <mergeCell ref="D21:G21"/>
    <mergeCell ref="D20:G20"/>
    <mergeCell ref="J2:K2"/>
    <mergeCell ref="E5:I5"/>
    <mergeCell ref="E3:I3"/>
    <mergeCell ref="E4:I4"/>
    <mergeCell ref="E6:I6"/>
    <mergeCell ref="C10:E10"/>
    <mergeCell ref="H12:I12"/>
    <mergeCell ref="H14:I14"/>
    <mergeCell ref="D15:E15"/>
    <mergeCell ref="D12:E12"/>
    <mergeCell ref="D13:E13"/>
    <mergeCell ref="H13:I13"/>
    <mergeCell ref="D14:G14"/>
  </mergeCells>
  <phoneticPr fontId="11" type="noConversion"/>
  <printOptions horizontalCentered="1"/>
  <pageMargins left="0.25" right="0.25" top="0.75" bottom="0.75" header="0.3" footer="0.3"/>
  <pageSetup paperSize="9" scale="34"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00_COTIZACION OFICIAL</vt:lpstr>
      <vt:lpstr>'00_COTIZACION OFICIAL'!Área_de_impresión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2026-08-11T23:06:38Z</cp:lastPrinted>
  <dcterms:created xsi:type="dcterms:W3CDTF">2021-10-27T20:40:34Z</dcterms:created>
  <dcterms:modified xsi:type="dcterms:W3CDTF">2026-08-11T23:06:56Z</dcterms:modified>
</cp:coreProperties>
</file>